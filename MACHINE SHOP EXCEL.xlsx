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il\Downloads\"/>
    </mc:Choice>
  </mc:AlternateContent>
  <xr:revisionPtr revIDLastSave="0" documentId="13_ncr:1_{7DD82171-8820-4243-9BAF-0C3A6CC296BE}" xr6:coauthVersionLast="47" xr6:coauthVersionMax="47" xr10:uidLastSave="{00000000-0000-0000-0000-000000000000}"/>
  <bookViews>
    <workbookView xWindow="-120" yWindow="-120" windowWidth="20730" windowHeight="11040" xr2:uid="{40E631E1-4FB6-4E35-80E5-14DCAAE64459}"/>
  </bookViews>
  <sheets>
    <sheet name="Home" sheetId="1" r:id="rId1"/>
    <sheet name="Employee Profile" sheetId="2" r:id="rId2"/>
    <sheet name="SALARY PER WEEK" sheetId="3" r:id="rId3"/>
    <sheet name="WORKING DAYS" sheetId="6" r:id="rId4"/>
    <sheet name="SALARY PER MONTH" sheetId="4" r:id="rId5"/>
  </sheets>
  <definedNames>
    <definedName name="_xlnm.Print_Area" localSheetId="3">'WORKING DAYS'!$A$1:$C$23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2" l="1"/>
  <c r="B7" i="4"/>
  <c r="B8" i="4"/>
  <c r="B9" i="4"/>
  <c r="B10" i="4"/>
  <c r="B11" i="4"/>
  <c r="B12" i="4"/>
  <c r="B13" i="4"/>
  <c r="B14" i="4"/>
  <c r="F6" i="3"/>
  <c r="E6" i="3"/>
  <c r="D6" i="3"/>
  <c r="B6" i="3"/>
  <c r="K9" i="2"/>
  <c r="D9" i="2"/>
  <c r="K8" i="2"/>
  <c r="D8" i="2"/>
  <c r="K13" i="2"/>
  <c r="D13" i="2"/>
  <c r="L13" i="2" s="1"/>
  <c r="M13" i="2" s="1"/>
  <c r="K7" i="2"/>
  <c r="K10" i="2"/>
  <c r="K11" i="2"/>
  <c r="K12" i="2"/>
  <c r="K6" i="2"/>
  <c r="G6" i="3" s="1"/>
  <c r="D7" i="2"/>
  <c r="L7" i="2" s="1"/>
  <c r="M7" i="2" s="1"/>
  <c r="D10" i="2"/>
  <c r="D11" i="2"/>
  <c r="L11" i="2" s="1"/>
  <c r="D12" i="2"/>
  <c r="L12" i="2" s="1"/>
  <c r="M12" i="2" s="1"/>
  <c r="D6" i="2"/>
  <c r="L10" i="2" l="1"/>
  <c r="M10" i="2" s="1"/>
  <c r="C6" i="3"/>
  <c r="L9" i="2"/>
  <c r="M9" i="2" s="1"/>
  <c r="L8" i="2"/>
  <c r="M8" i="2" s="1"/>
  <c r="L6" i="2"/>
  <c r="H6" i="3" l="1"/>
  <c r="M6" i="2"/>
</calcChain>
</file>

<file path=xl/sharedStrings.xml><?xml version="1.0" encoding="utf-8"?>
<sst xmlns="http://schemas.openxmlformats.org/spreadsheetml/2006/main" count="83" uniqueCount="46">
  <si>
    <t>Employee Name</t>
  </si>
  <si>
    <t>Marital Status</t>
  </si>
  <si>
    <t>Rate/day</t>
  </si>
  <si>
    <t>Salary</t>
  </si>
  <si>
    <t>SSS</t>
  </si>
  <si>
    <t>PhilHealth</t>
  </si>
  <si>
    <t>Pag-ibig</t>
  </si>
  <si>
    <t>Alfaro, Ken</t>
  </si>
  <si>
    <t>Arulfo, Jayson</t>
  </si>
  <si>
    <t>Malicse, Julius</t>
  </si>
  <si>
    <t>Ramos, Louie</t>
  </si>
  <si>
    <t>Married</t>
  </si>
  <si>
    <t>Single</t>
  </si>
  <si>
    <t>Pantig, Albert</t>
  </si>
  <si>
    <t>Ramos Machine Shop</t>
  </si>
  <si>
    <t>SSS contri of company</t>
  </si>
  <si>
    <t>SSS contri of employee</t>
  </si>
  <si>
    <t>Contri Employee</t>
  </si>
  <si>
    <t>Contri Company</t>
  </si>
  <si>
    <t>Contri of Employee</t>
  </si>
  <si>
    <t>Contri of company</t>
  </si>
  <si>
    <t>Employee Profile</t>
  </si>
  <si>
    <t>Total Salary</t>
  </si>
  <si>
    <t>Total Deductions</t>
  </si>
  <si>
    <t>Tacdoro, Michael</t>
  </si>
  <si>
    <t>Bernardo, Beltran</t>
  </si>
  <si>
    <t>Danilo, Fuentes</t>
  </si>
  <si>
    <t>Salary per MONTH</t>
  </si>
  <si>
    <t>Salary per WEEK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</si>
  <si>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</si>
  <si>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</si>
  <si>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</si>
  <si>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</si>
  <si>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</si>
  <si>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</si>
  <si>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</si>
  <si>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</si>
  <si>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</si>
  <si>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</si>
  <si>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</si>
  <si>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</si>
  <si>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</si>
  <si>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Days</t>
  </si>
  <si>
    <t>Select Month</t>
  </si>
  <si>
    <t>Monthly Salary</t>
  </si>
  <si>
    <t>Salary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</si>
</sst>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_);_(* \(#,##0.0\);_(* &quot;-&quot;??_);_(@_)"/>
    <numFmt numFmtId="166" formatCode="_(* #,##0.0_);_(* \(#,##0.0\);_(* &quot;-&quot;?_);_(@_)"/>
    <numFmt numFmtId="167" formatCode="_-* #,##0.0_-;\-* #,##0.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Britannic Bold"/>
      <family val="2"/>
    </font>
    <font>
      <sz val="11"/>
      <color theme="1"/>
      <name val="Berlin Sans FB Dem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EF68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5" fontId="0" fillId="0" borderId="1" xfId="1" applyNumberFormat="1" applyFont="1" applyBorder="1"/>
    <xf numFmtId="165" fontId="0" fillId="0" borderId="1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165" fontId="0" fillId="6" borderId="1" xfId="1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1" applyFont="1" applyBorder="1"/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2" fillId="10" borderId="1" xfId="0" applyFont="1" applyFill="1" applyBorder="1" applyAlignment="1">
      <alignment horizontal="centerContinuous" vertical="center"/>
    </xf>
    <xf numFmtId="0" fontId="2" fillId="10" borderId="1" xfId="0" applyFont="1" applyFill="1" applyBorder="1" applyAlignment="1">
      <alignment horizontal="center" vertical="center"/>
    </xf>
    <xf numFmtId="167" fontId="0" fillId="0" borderId="1" xfId="0" applyNumberFormat="1" applyBorder="1"/>
    <xf numFmtId="0" fontId="4" fillId="0" borderId="0" xfId="0" applyFont="1" applyAlignment="1">
      <alignment horizontal="centerContinuous" vertical="center" wrapText="1"/>
    </xf>
    <xf numFmtId="0" fontId="0" fillId="0" borderId="0" xfId="0" applyAlignment="1">
      <alignment horizontal="centerContinuous" wrapText="1"/>
    </xf>
    <xf numFmtId="0" fontId="5" fillId="0" borderId="0" xfId="0" applyFont="1" applyAlignment="1">
      <alignment horizontal="centerContinuous" vertical="center" wrapText="1"/>
    </xf>
    <xf numFmtId="0" fontId="5" fillId="0" borderId="4" xfId="0" applyFont="1" applyBorder="1" applyAlignment="1">
      <alignment horizontal="centerContinuous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3" fillId="11" borderId="1" xfId="1" applyFont="1" applyFill="1" applyBorder="1"/>
    <xf numFmtId="0" fontId="2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EEF6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SALARY PER MONTH'!A1"/><Relationship Id="rId2" Type="http://schemas.openxmlformats.org/officeDocument/2006/relationships/hyperlink" Target="#'SALARY PER WEEK'!A1"/><Relationship Id="rId1" Type="http://schemas.openxmlformats.org/officeDocument/2006/relationships/image" Target="../media/image1.png"/><Relationship Id="rId5" Type="http://schemas.openxmlformats.org/officeDocument/2006/relationships/hyperlink" Target="#'WORKING DAYS'!A1"/><Relationship Id="rId4" Type="http://schemas.openxmlformats.org/officeDocument/2006/relationships/hyperlink" Target="#'Employee Profile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Employee Profile'!A1"/><Relationship Id="rId2" Type="http://schemas.openxmlformats.org/officeDocument/2006/relationships/hyperlink" Target="#'SALARY PER WEEK'!A1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Employee Profile'!A1"/><Relationship Id="rId2" Type="http://schemas.openxmlformats.org/officeDocument/2006/relationships/hyperlink" Target="#'WORKING DAYS'!A1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Home!A1"/><Relationship Id="rId2" Type="http://schemas.openxmlformats.org/officeDocument/2006/relationships/hyperlink" Target="#'SALARY PER WEEK'!A1"/><Relationship Id="rId1" Type="http://schemas.openxmlformats.org/officeDocument/2006/relationships/hyperlink" Target="#'SALARY PER MONTH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WORKING DAYS'!A1"/><Relationship Id="rId2" Type="http://schemas.openxmlformats.org/officeDocument/2006/relationships/hyperlink" Target="#'SALARY PER MONTH'!A1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177210</xdr:rowOff>
    </xdr:from>
    <xdr:to>
      <xdr:col>10</xdr:col>
      <xdr:colOff>600075</xdr:colOff>
      <xdr:row>21</xdr:row>
      <xdr:rowOff>122275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3EBA968-B495-38B9-2AB8-A63E72050F3C}"/>
            </a:ext>
          </a:extLst>
        </xdr:cNvPr>
        <xdr:cNvSpPr/>
      </xdr:nvSpPr>
      <xdr:spPr>
        <a:xfrm>
          <a:off x="0" y="177210"/>
          <a:ext cx="6691645" cy="3899048"/>
        </a:xfrm>
        <a:prstGeom prst="rect">
          <a:avLst/>
        </a:prstGeom>
        <a:gradFill>
          <a:gsLst>
            <a:gs pos="0">
              <a:schemeClr val="accent2"/>
            </a:gs>
            <a:gs pos="74000">
              <a:schemeClr val="accent1">
                <a:lumMod val="60000"/>
                <a:lumOff val="40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</xdr:col>
      <xdr:colOff>344007</xdr:colOff>
      <xdr:row>3</xdr:row>
      <xdr:rowOff>142433</xdr:rowOff>
    </xdr:from>
    <xdr:to>
      <xdr:col>7</xdr:col>
      <xdr:colOff>467832</xdr:colOff>
      <xdr:row>9</xdr:row>
      <xdr:rowOff>77530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D4E7C0F-47ED-51B5-329F-E7EDF0FC02A2}"/>
            </a:ext>
          </a:extLst>
        </xdr:cNvPr>
        <xdr:cNvSpPr txBox="1"/>
      </xdr:nvSpPr>
      <xdr:spPr>
        <a:xfrm>
          <a:off x="1562321" y="707288"/>
          <a:ext cx="3169610" cy="1064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kern="1200">
              <a:latin typeface="Britannic Bold" panose="020B0903060703020204" pitchFamily="34" charset="0"/>
            </a:rPr>
            <a:t>Ramos Machine Shop</a:t>
          </a:r>
        </a:p>
      </xdr:txBody>
    </xdr:sp>
    <xdr:clientData/>
  </xdr:twoCellAnchor>
  <xdr:twoCellAnchor editAs="oneCell">
    <xdr:from>
      <xdr:col>0</xdr:col>
      <xdr:colOff>132906</xdr:colOff>
      <xdr:row>1</xdr:row>
      <xdr:rowOff>170323</xdr:rowOff>
    </xdr:from>
    <xdr:to>
      <xdr:col>3</xdr:col>
      <xdr:colOff>609156</xdr:colOff>
      <xdr:row>8</xdr:row>
      <xdr:rowOff>66452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6CDA7F-178C-DAFD-532C-D382698B1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06" y="358608"/>
          <a:ext cx="2303721" cy="1214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33225</xdr:colOff>
      <xdr:row>9</xdr:row>
      <xdr:rowOff>177209</xdr:rowOff>
    </xdr:from>
    <xdr:to>
      <xdr:col>8</xdr:col>
      <xdr:colOff>431946</xdr:colOff>
      <xdr:row>12</xdr:row>
      <xdr:rowOff>110755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BCD922-B831-D13F-9C62-E905F7FA8FD0}"/>
            </a:ext>
          </a:extLst>
        </xdr:cNvPr>
        <xdr:cNvSpPr/>
      </xdr:nvSpPr>
      <xdr:spPr>
        <a:xfrm>
          <a:off x="3688167" y="1871773"/>
          <a:ext cx="1617035" cy="498401"/>
        </a:xfrm>
        <a:prstGeom prst="round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2000" kern="1200">
              <a:latin typeface="Aharoni" panose="02010803020104030203" pitchFamily="2" charset="-79"/>
              <a:cs typeface="Aharoni" panose="02010803020104030203" pitchFamily="2" charset="-79"/>
            </a:rPr>
            <a:t>SALARY</a:t>
          </a:r>
        </a:p>
      </xdr:txBody>
    </xdr:sp>
    <xdr:clientData/>
  </xdr:twoCellAnchor>
  <xdr:twoCellAnchor>
    <xdr:from>
      <xdr:col>6</xdr:col>
      <xdr:colOff>52716</xdr:colOff>
      <xdr:row>14</xdr:row>
      <xdr:rowOff>163476</xdr:rowOff>
    </xdr:from>
    <xdr:to>
      <xdr:col>8</xdr:col>
      <xdr:colOff>451437</xdr:colOff>
      <xdr:row>17</xdr:row>
      <xdr:rowOff>97022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03774C7-AADE-4FBE-952F-4B50CE7A3144}"/>
            </a:ext>
          </a:extLst>
        </xdr:cNvPr>
        <xdr:cNvSpPr/>
      </xdr:nvSpPr>
      <xdr:spPr>
        <a:xfrm>
          <a:off x="3707658" y="2799464"/>
          <a:ext cx="1617035" cy="498401"/>
        </a:xfrm>
        <a:prstGeom prst="round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kern="1200">
              <a:latin typeface="Aharoni" panose="02010803020104030203" pitchFamily="2" charset="-79"/>
              <a:cs typeface="Aharoni" panose="02010803020104030203" pitchFamily="2" charset="-79"/>
            </a:rPr>
            <a:t>SUMMARY</a:t>
          </a:r>
          <a:r>
            <a:rPr lang="en-PH" sz="1400" kern="1200" baseline="0">
              <a:latin typeface="Aharoni" panose="02010803020104030203" pitchFamily="2" charset="-79"/>
              <a:cs typeface="Aharoni" panose="02010803020104030203" pitchFamily="2" charset="-79"/>
            </a:rPr>
            <a:t> OF SALARY</a:t>
          </a:r>
          <a:endParaRPr lang="en-PH" sz="1400" kern="1200"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528969</xdr:colOff>
      <xdr:row>9</xdr:row>
      <xdr:rowOff>163476</xdr:rowOff>
    </xdr:from>
    <xdr:to>
      <xdr:col>3</xdr:col>
      <xdr:colOff>365495</xdr:colOff>
      <xdr:row>12</xdr:row>
      <xdr:rowOff>132907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F93314C-7917-4E4A-A016-E7919BB70256}"/>
            </a:ext>
          </a:extLst>
        </xdr:cNvPr>
        <xdr:cNvSpPr/>
      </xdr:nvSpPr>
      <xdr:spPr>
        <a:xfrm>
          <a:off x="528969" y="1858040"/>
          <a:ext cx="1663997" cy="534286"/>
        </a:xfrm>
        <a:prstGeom prst="round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kern="1200">
              <a:latin typeface="Aharoni" panose="02010803020104030203" pitchFamily="2" charset="-79"/>
              <a:cs typeface="Aharoni" panose="02010803020104030203" pitchFamily="2" charset="-79"/>
            </a:rPr>
            <a:t>EMPLOYEE</a:t>
          </a:r>
          <a:r>
            <a:rPr lang="en-PH" sz="1400" kern="1200" baseline="0">
              <a:latin typeface="Aharoni" panose="02010803020104030203" pitchFamily="2" charset="-79"/>
              <a:cs typeface="Aharoni" panose="02010803020104030203" pitchFamily="2" charset="-79"/>
            </a:rPr>
            <a:t> PROFILE</a:t>
          </a:r>
          <a:endParaRPr lang="en-PH" sz="1400" kern="1200"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559537</xdr:colOff>
      <xdr:row>14</xdr:row>
      <xdr:rowOff>182969</xdr:rowOff>
    </xdr:from>
    <xdr:to>
      <xdr:col>3</xdr:col>
      <xdr:colOff>396063</xdr:colOff>
      <xdr:row>17</xdr:row>
      <xdr:rowOff>152400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6850433-02BA-4B1B-B5CF-432E01789346}"/>
            </a:ext>
          </a:extLst>
        </xdr:cNvPr>
        <xdr:cNvSpPr/>
      </xdr:nvSpPr>
      <xdr:spPr>
        <a:xfrm>
          <a:off x="559537" y="2818957"/>
          <a:ext cx="1663997" cy="534286"/>
        </a:xfrm>
        <a:prstGeom prst="round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kern="1200">
              <a:latin typeface="Aharoni" panose="02010803020104030203" pitchFamily="2" charset="-79"/>
              <a:cs typeface="Aharoni" panose="02010803020104030203" pitchFamily="2" charset="-79"/>
            </a:rPr>
            <a:t>WORKING</a:t>
          </a:r>
          <a:r>
            <a:rPr lang="en-PH" sz="1400" kern="1200" baseline="0">
              <a:latin typeface="Aharoni" panose="02010803020104030203" pitchFamily="2" charset="-79"/>
              <a:cs typeface="Aharoni" panose="02010803020104030203" pitchFamily="2" charset="-79"/>
            </a:rPr>
            <a:t> DAYS</a:t>
          </a:r>
          <a:endParaRPr lang="en-PH" sz="1400" kern="1200"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200025</xdr:colOff>
      <xdr:row>0</xdr:row>
      <xdr:rowOff>152400</xdr:rowOff>
    </xdr:from>
    <xdr:to>
      <xdr:col>11</xdr:col>
      <xdr:colOff>409575</xdr:colOff>
      <xdr:row>2</xdr:row>
      <xdr:rowOff>57150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3ABF71-829E-4FF7-B124-07B60AE49636}"/>
            </a:ext>
          </a:extLst>
        </xdr:cNvPr>
        <xdr:cNvSpPr/>
      </xdr:nvSpPr>
      <xdr:spPr>
        <a:xfrm>
          <a:off x="8096250" y="152400"/>
          <a:ext cx="1028700" cy="476250"/>
        </a:xfrm>
        <a:prstGeom prst="roundRect">
          <a:avLst>
            <a:gd name="adj" fmla="val 34667"/>
          </a:avLst>
        </a:prstGeom>
        <a:gradFill>
          <a:gsLst>
            <a:gs pos="0">
              <a:schemeClr val="accent2"/>
            </a:gs>
            <a:gs pos="74000">
              <a:schemeClr val="accent1">
                <a:lumMod val="60000"/>
                <a:lumOff val="40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>
              <a:solidFill>
                <a:sysClr val="windowText" lastClr="000000"/>
              </a:solidFill>
              <a:latin typeface="Arial Black" panose="020B0A04020102020204" pitchFamily="34" charset="0"/>
            </a:rPr>
            <a:t>HOME</a:t>
          </a:r>
        </a:p>
      </xdr:txBody>
    </xdr:sp>
    <xdr:clientData/>
  </xdr:twoCellAnchor>
  <xdr:twoCellAnchor>
    <xdr:from>
      <xdr:col>12</xdr:col>
      <xdr:colOff>66675</xdr:colOff>
      <xdr:row>14</xdr:row>
      <xdr:rowOff>0</xdr:rowOff>
    </xdr:from>
    <xdr:to>
      <xdr:col>12</xdr:col>
      <xdr:colOff>600075</xdr:colOff>
      <xdr:row>15</xdr:row>
      <xdr:rowOff>161925</xdr:rowOff>
    </xdr:to>
    <xdr:sp macro="" textlink="">
      <xdr:nvSpPr>
        <xdr:cNvPr id="3" name="Arrow: Righ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6F1652-C671-4AAB-6228-197DB81A187F}"/>
            </a:ext>
          </a:extLst>
        </xdr:cNvPr>
        <xdr:cNvSpPr/>
      </xdr:nvSpPr>
      <xdr:spPr>
        <a:xfrm>
          <a:off x="9391650" y="3048000"/>
          <a:ext cx="533400" cy="352425"/>
        </a:xfrm>
        <a:prstGeom prst="right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 kern="1200"/>
        </a:p>
      </xdr:txBody>
    </xdr:sp>
    <xdr:clientData/>
  </xdr:twoCellAnchor>
  <xdr:twoCellAnchor>
    <xdr:from>
      <xdr:col>10</xdr:col>
      <xdr:colOff>695325</xdr:colOff>
      <xdr:row>14</xdr:row>
      <xdr:rowOff>9525</xdr:rowOff>
    </xdr:from>
    <xdr:to>
      <xdr:col>11</xdr:col>
      <xdr:colOff>466725</xdr:colOff>
      <xdr:row>15</xdr:row>
      <xdr:rowOff>171450</xdr:rowOff>
    </xdr:to>
    <xdr:sp macro="" textlink="">
      <xdr:nvSpPr>
        <xdr:cNvPr id="4" name="Arrow: Right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19564A-43A7-4F2D-BF73-AD8992799261}"/>
            </a:ext>
          </a:extLst>
        </xdr:cNvPr>
        <xdr:cNvSpPr/>
      </xdr:nvSpPr>
      <xdr:spPr>
        <a:xfrm rot="10800000">
          <a:off x="8648700" y="3057525"/>
          <a:ext cx="533400" cy="352425"/>
        </a:xfrm>
        <a:prstGeom prst="right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666750</xdr:colOff>
      <xdr:row>0</xdr:row>
      <xdr:rowOff>85725</xdr:rowOff>
    </xdr:from>
    <xdr:to>
      <xdr:col>7</xdr:col>
      <xdr:colOff>666750</xdr:colOff>
      <xdr:row>2</xdr:row>
      <xdr:rowOff>38100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4CFEF5-6869-1F6F-3913-AEC67C6D20C3}"/>
            </a:ext>
          </a:extLst>
        </xdr:cNvPr>
        <xdr:cNvSpPr/>
      </xdr:nvSpPr>
      <xdr:spPr>
        <a:xfrm>
          <a:off x="6381750" y="85725"/>
          <a:ext cx="1266825" cy="466725"/>
        </a:xfrm>
        <a:prstGeom prst="roundRect">
          <a:avLst>
            <a:gd name="adj" fmla="val 34667"/>
          </a:avLst>
        </a:prstGeom>
        <a:gradFill>
          <a:gsLst>
            <a:gs pos="0">
              <a:schemeClr val="accent2"/>
            </a:gs>
            <a:gs pos="74000">
              <a:schemeClr val="accent1">
                <a:lumMod val="60000"/>
                <a:lumOff val="40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>
              <a:solidFill>
                <a:sysClr val="windowText" lastClr="000000"/>
              </a:solidFill>
              <a:latin typeface="Arial Black" panose="020B0A04020102020204" pitchFamily="34" charset="0"/>
            </a:rPr>
            <a:t>HOME</a:t>
          </a:r>
        </a:p>
      </xdr:txBody>
    </xdr:sp>
    <xdr:clientData/>
  </xdr:twoCellAnchor>
  <xdr:twoCellAnchor>
    <xdr:from>
      <xdr:col>7</xdr:col>
      <xdr:colOff>152400</xdr:colOff>
      <xdr:row>6</xdr:row>
      <xdr:rowOff>114300</xdr:rowOff>
    </xdr:from>
    <xdr:to>
      <xdr:col>7</xdr:col>
      <xdr:colOff>685800</xdr:colOff>
      <xdr:row>8</xdr:row>
      <xdr:rowOff>85725</xdr:rowOff>
    </xdr:to>
    <xdr:sp macro="" textlink="">
      <xdr:nvSpPr>
        <xdr:cNvPr id="3" name="Arrow: Righ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FB3F35-0B2A-49C9-969C-25523CFF46D2}"/>
            </a:ext>
          </a:extLst>
        </xdr:cNvPr>
        <xdr:cNvSpPr/>
      </xdr:nvSpPr>
      <xdr:spPr>
        <a:xfrm>
          <a:off x="7134225" y="1685925"/>
          <a:ext cx="533400" cy="352425"/>
        </a:xfrm>
        <a:prstGeom prst="right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 kern="1200"/>
        </a:p>
      </xdr:txBody>
    </xdr:sp>
    <xdr:clientData/>
  </xdr:twoCellAnchor>
  <xdr:twoCellAnchor>
    <xdr:from>
      <xdr:col>6</xdr:col>
      <xdr:colOff>676275</xdr:colOff>
      <xdr:row>6</xdr:row>
      <xdr:rowOff>123825</xdr:rowOff>
    </xdr:from>
    <xdr:to>
      <xdr:col>6</xdr:col>
      <xdr:colOff>1209675</xdr:colOff>
      <xdr:row>8</xdr:row>
      <xdr:rowOff>95250</xdr:rowOff>
    </xdr:to>
    <xdr:sp macro="" textlink="">
      <xdr:nvSpPr>
        <xdr:cNvPr id="4" name="Arrow: Right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6A842A-C3E9-49F1-9031-FD3FB2884474}"/>
            </a:ext>
          </a:extLst>
        </xdr:cNvPr>
        <xdr:cNvSpPr/>
      </xdr:nvSpPr>
      <xdr:spPr>
        <a:xfrm rot="10800000">
          <a:off x="6391275" y="1695450"/>
          <a:ext cx="533400" cy="352425"/>
        </a:xfrm>
        <a:prstGeom prst="right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111125</xdr:colOff>
      <xdr:row>4</xdr:row>
      <xdr:rowOff>50800</xdr:rowOff>
    </xdr:from>
    <xdr:to>
      <xdr:col>4</xdr:col>
      <xdr:colOff>644525</xdr:colOff>
      <xdr:row>6</xdr:row>
      <xdr:rowOff>22225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3CC767-94D6-4EE7-8AA0-75F0A736AFF4}"/>
            </a:ext>
          </a:extLst>
        </xdr:cNvPr>
        <xdr:cNvSpPr/>
      </xdr:nvSpPr>
      <xdr:spPr>
        <a:xfrm>
          <a:off x="4286250" y="812800"/>
          <a:ext cx="533400" cy="352425"/>
        </a:xfrm>
        <a:prstGeom prst="right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 kern="1200"/>
        </a:p>
      </xdr:txBody>
    </xdr:sp>
    <xdr:clientData/>
  </xdr:twoCellAnchor>
  <xdr:twoCellAnchor>
    <xdr:from>
      <xdr:col>3</xdr:col>
      <xdr:colOff>247650</xdr:colOff>
      <xdr:row>4</xdr:row>
      <xdr:rowOff>76200</xdr:rowOff>
    </xdr:from>
    <xdr:to>
      <xdr:col>3</xdr:col>
      <xdr:colOff>774700</xdr:colOff>
      <xdr:row>6</xdr:row>
      <xdr:rowOff>47625</xdr:rowOff>
    </xdr:to>
    <xdr:sp macro="" textlink="">
      <xdr:nvSpPr>
        <xdr:cNvPr id="3" name="Arrow: Righ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40EAF0-18C5-45F3-BD4A-0883E41AE4F4}"/>
            </a:ext>
          </a:extLst>
        </xdr:cNvPr>
        <xdr:cNvSpPr/>
      </xdr:nvSpPr>
      <xdr:spPr>
        <a:xfrm rot="10800000">
          <a:off x="3057525" y="838200"/>
          <a:ext cx="527050" cy="352425"/>
        </a:xfrm>
        <a:prstGeom prst="right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 kern="1200"/>
        </a:p>
      </xdr:txBody>
    </xdr:sp>
    <xdr:clientData/>
  </xdr:twoCellAnchor>
  <xdr:twoCellAnchor>
    <xdr:from>
      <xdr:col>3</xdr:col>
      <xdr:colOff>523875</xdr:colOff>
      <xdr:row>1</xdr:row>
      <xdr:rowOff>60325</xdr:rowOff>
    </xdr:from>
    <xdr:to>
      <xdr:col>4</xdr:col>
      <xdr:colOff>419100</xdr:colOff>
      <xdr:row>3</xdr:row>
      <xdr:rowOff>146050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80E090-FFE6-4284-BA4B-CD0CDEFF4F79}"/>
            </a:ext>
          </a:extLst>
        </xdr:cNvPr>
        <xdr:cNvSpPr/>
      </xdr:nvSpPr>
      <xdr:spPr>
        <a:xfrm>
          <a:off x="3333750" y="250825"/>
          <a:ext cx="1260475" cy="466725"/>
        </a:xfrm>
        <a:prstGeom prst="roundRect">
          <a:avLst>
            <a:gd name="adj" fmla="val 34667"/>
          </a:avLst>
        </a:prstGeom>
        <a:gradFill>
          <a:gsLst>
            <a:gs pos="0">
              <a:schemeClr val="accent2"/>
            </a:gs>
            <a:gs pos="74000">
              <a:schemeClr val="accent1">
                <a:lumMod val="60000"/>
                <a:lumOff val="40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>
              <a:solidFill>
                <a:sysClr val="windowText" lastClr="000000"/>
              </a:solidFill>
              <a:latin typeface="Arial Black" panose="020B0A04020102020204" pitchFamily="34" charset="0"/>
            </a:rPr>
            <a:t>HOME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85725</xdr:rowOff>
    </xdr:from>
    <xdr:to>
      <xdr:col>8</xdr:col>
      <xdr:colOff>285750</xdr:colOff>
      <xdr:row>2</xdr:row>
      <xdr:rowOff>38100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351481-31CC-49AE-9705-5408BAF05508}"/>
            </a:ext>
          </a:extLst>
        </xdr:cNvPr>
        <xdr:cNvSpPr/>
      </xdr:nvSpPr>
      <xdr:spPr>
        <a:xfrm>
          <a:off x="4267200" y="85725"/>
          <a:ext cx="895350" cy="466725"/>
        </a:xfrm>
        <a:prstGeom prst="roundRect">
          <a:avLst>
            <a:gd name="adj" fmla="val 34667"/>
          </a:avLst>
        </a:prstGeom>
        <a:gradFill>
          <a:gsLst>
            <a:gs pos="0">
              <a:schemeClr val="accent2"/>
            </a:gs>
            <a:gs pos="74000">
              <a:schemeClr val="accent1">
                <a:lumMod val="60000"/>
                <a:lumOff val="40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>
              <a:solidFill>
                <a:sysClr val="windowText" lastClr="000000"/>
              </a:solidFill>
              <a:latin typeface="Arial Black" panose="020B0A04020102020204" pitchFamily="34" charset="0"/>
            </a:rPr>
            <a:t>HOME</a:t>
          </a:r>
        </a:p>
      </xdr:txBody>
    </xdr:sp>
    <xdr:clientData/>
  </xdr:twoCellAnchor>
  <xdr:twoCellAnchor>
    <xdr:from>
      <xdr:col>7</xdr:col>
      <xdr:colOff>533400</xdr:colOff>
      <xdr:row>2</xdr:row>
      <xdr:rowOff>76200</xdr:rowOff>
    </xdr:from>
    <xdr:to>
      <xdr:col>8</xdr:col>
      <xdr:colOff>457200</xdr:colOff>
      <xdr:row>4</xdr:row>
      <xdr:rowOff>47625</xdr:rowOff>
    </xdr:to>
    <xdr:sp macro="" textlink="">
      <xdr:nvSpPr>
        <xdr:cNvPr id="3" name="Arrow: Righ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FCD667-21F3-447D-BD25-65B1773E5A09}"/>
            </a:ext>
          </a:extLst>
        </xdr:cNvPr>
        <xdr:cNvSpPr/>
      </xdr:nvSpPr>
      <xdr:spPr>
        <a:xfrm>
          <a:off x="6276975" y="590550"/>
          <a:ext cx="533400" cy="352425"/>
        </a:xfrm>
        <a:prstGeom prst="right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 kern="1200"/>
        </a:p>
      </xdr:txBody>
    </xdr:sp>
    <xdr:clientData/>
  </xdr:twoCellAnchor>
  <xdr:twoCellAnchor>
    <xdr:from>
      <xdr:col>6</xdr:col>
      <xdr:colOff>400050</xdr:colOff>
      <xdr:row>2</xdr:row>
      <xdr:rowOff>85725</xdr:rowOff>
    </xdr:from>
    <xdr:to>
      <xdr:col>7</xdr:col>
      <xdr:colOff>323850</xdr:colOff>
      <xdr:row>4</xdr:row>
      <xdr:rowOff>57150</xdr:rowOff>
    </xdr:to>
    <xdr:sp macro="" textlink="">
      <xdr:nvSpPr>
        <xdr:cNvPr id="4" name="Arrow: Right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1FFAB0-9295-4F6F-BEE0-30ED50F4ED30}"/>
            </a:ext>
          </a:extLst>
        </xdr:cNvPr>
        <xdr:cNvSpPr/>
      </xdr:nvSpPr>
      <xdr:spPr>
        <a:xfrm rot="10800000">
          <a:off x="5534025" y="600075"/>
          <a:ext cx="533400" cy="352425"/>
        </a:xfrm>
        <a:prstGeom prst="right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7716-5FB8-43AD-8E57-FEA1010BED46}">
  <dimension ref="A1"/>
  <sheetViews>
    <sheetView tabSelected="1" zoomScale="86" zoomScaleNormal="86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D972-564F-47A8-87E7-19DE6BCC2BE5}">
  <sheetPr>
    <tabColor theme="4"/>
    <pageSetUpPr fitToPage="1"/>
  </sheetPr>
  <dimension ref="A1:M13"/>
  <sheetViews>
    <sheetView zoomScaleNormal="100" zoomScaleSheetLayoutView="98" workbookViewId="0">
      <selection activeCell="A6" sqref="A6:A13"/>
    </sheetView>
  </sheetViews>
  <sheetFormatPr defaultRowHeight="15" x14ac:dyDescent="0.25"/>
  <cols>
    <col min="1" max="1" width="18.28515625" customWidth="1"/>
    <col min="2" max="2" width="11.140625" customWidth="1"/>
    <col min="3" max="3" width="10.85546875" customWidth="1"/>
    <col min="4" max="4" width="11.7109375" customWidth="1"/>
    <col min="5" max="5" width="13" customWidth="1"/>
    <col min="6" max="6" width="11.5703125" customWidth="1"/>
    <col min="7" max="7" width="10.7109375" customWidth="1"/>
    <col min="8" max="8" width="11.85546875" customWidth="1"/>
    <col min="9" max="9" width="10.140625" customWidth="1"/>
    <col min="10" max="10" width="10" customWidth="1"/>
    <col min="11" max="11" width="11.42578125" customWidth="1"/>
    <col min="13" max="13" width="10.5703125" bestFit="1" customWidth="1"/>
  </cols>
  <sheetData>
    <row r="1" spans="1:13" ht="30" customHeight="1" x14ac:dyDescent="0.25">
      <c r="A1" s="24" t="s">
        <v>14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13" ht="15" customHeight="1" x14ac:dyDescent="0.25">
      <c r="A2" s="26" t="s">
        <v>21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5"/>
    </row>
    <row r="3" spans="1:13" ht="1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5"/>
    </row>
    <row r="4" spans="1:13" x14ac:dyDescent="0.25">
      <c r="A4" s="32" t="s">
        <v>0</v>
      </c>
      <c r="B4" s="32" t="s">
        <v>1</v>
      </c>
      <c r="C4" s="32" t="s">
        <v>2</v>
      </c>
      <c r="D4" s="32" t="s">
        <v>3</v>
      </c>
      <c r="E4" s="31" t="s">
        <v>4</v>
      </c>
      <c r="F4" s="31"/>
      <c r="G4" s="32" t="s">
        <v>5</v>
      </c>
      <c r="H4" s="32"/>
      <c r="I4" s="34" t="s">
        <v>6</v>
      </c>
      <c r="J4" s="35"/>
      <c r="K4" s="36" t="s">
        <v>23</v>
      </c>
      <c r="L4" s="37" t="s">
        <v>22</v>
      </c>
      <c r="M4" s="33" t="s">
        <v>44</v>
      </c>
    </row>
    <row r="5" spans="1:13" ht="30" x14ac:dyDescent="0.25">
      <c r="A5" s="32"/>
      <c r="B5" s="32"/>
      <c r="C5" s="32"/>
      <c r="D5" s="32"/>
      <c r="E5" s="6" t="s">
        <v>16</v>
      </c>
      <c r="F5" s="13" t="s">
        <v>15</v>
      </c>
      <c r="G5" s="6" t="s">
        <v>19</v>
      </c>
      <c r="H5" s="13" t="s">
        <v>20</v>
      </c>
      <c r="I5" s="6" t="s">
        <v>17</v>
      </c>
      <c r="J5" s="13" t="s">
        <v>18</v>
      </c>
      <c r="K5" s="36"/>
      <c r="L5" s="37"/>
      <c r="M5" s="33"/>
    </row>
    <row r="6" spans="1:13" x14ac:dyDescent="0.25">
      <c r="A6" s="3" t="s">
        <v>7</v>
      </c>
      <c r="B6" s="3" t="s">
        <v>11</v>
      </c>
      <c r="C6" s="4">
        <v>750</v>
      </c>
      <c r="D6" s="5">
        <f>(C6*6)</f>
        <v>4500</v>
      </c>
      <c r="E6" s="9">
        <v>765</v>
      </c>
      <c r="F6" s="14">
        <v>1645</v>
      </c>
      <c r="G6" s="8">
        <v>420</v>
      </c>
      <c r="H6" s="14">
        <v>420</v>
      </c>
      <c r="I6" s="10">
        <v>200</v>
      </c>
      <c r="J6" s="14">
        <v>200</v>
      </c>
      <c r="K6" s="7">
        <f>SUM(E6,G6,I6)</f>
        <v>1385</v>
      </c>
      <c r="L6" s="11">
        <f>D6-K6</f>
        <v>3115</v>
      </c>
      <c r="M6" s="23">
        <f>L6*4</f>
        <v>12460</v>
      </c>
    </row>
    <row r="7" spans="1:13" x14ac:dyDescent="0.25">
      <c r="A7" s="3" t="s">
        <v>8</v>
      </c>
      <c r="B7" s="3" t="s">
        <v>11</v>
      </c>
      <c r="C7" s="4">
        <v>600</v>
      </c>
      <c r="D7" s="5">
        <f>(C7*6)</f>
        <v>3600</v>
      </c>
      <c r="E7" s="8">
        <v>652.5</v>
      </c>
      <c r="F7" s="14">
        <v>1387.5</v>
      </c>
      <c r="G7" s="8">
        <v>360</v>
      </c>
      <c r="H7" s="14">
        <v>360</v>
      </c>
      <c r="I7" s="10">
        <v>200</v>
      </c>
      <c r="J7" s="14">
        <v>200</v>
      </c>
      <c r="K7" s="7">
        <f>SUM(E7,G7,I7)</f>
        <v>1212.5</v>
      </c>
      <c r="L7" s="11">
        <f>D7-K7</f>
        <v>2387.5</v>
      </c>
      <c r="M7" s="23">
        <f>L7*4</f>
        <v>9550</v>
      </c>
    </row>
    <row r="8" spans="1:13" x14ac:dyDescent="0.25">
      <c r="A8" s="3" t="s">
        <v>25</v>
      </c>
      <c r="B8" s="3" t="s">
        <v>11</v>
      </c>
      <c r="C8" s="4">
        <v>600</v>
      </c>
      <c r="D8" s="5">
        <f>(C8*6)</f>
        <v>3600</v>
      </c>
      <c r="E8" s="8">
        <v>652.5</v>
      </c>
      <c r="F8" s="14">
        <v>1387.5</v>
      </c>
      <c r="G8" s="8">
        <v>360</v>
      </c>
      <c r="H8" s="14">
        <v>360</v>
      </c>
      <c r="I8" s="10">
        <v>200</v>
      </c>
      <c r="J8" s="14">
        <v>200</v>
      </c>
      <c r="K8" s="7">
        <f>SUM(E8,G8,I8)</f>
        <v>1212.5</v>
      </c>
      <c r="L8" s="11">
        <f>D8-K8</f>
        <v>2387.5</v>
      </c>
      <c r="M8" s="23">
        <f>L8*4</f>
        <v>9550</v>
      </c>
    </row>
    <row r="9" spans="1:13" x14ac:dyDescent="0.25">
      <c r="A9" s="3" t="s">
        <v>26</v>
      </c>
      <c r="B9" s="3" t="s">
        <v>11</v>
      </c>
      <c r="C9" s="4">
        <v>800</v>
      </c>
      <c r="D9" s="5">
        <f>(C9*6)</f>
        <v>4800</v>
      </c>
      <c r="E9" s="8">
        <v>855</v>
      </c>
      <c r="F9" s="14">
        <v>1835</v>
      </c>
      <c r="G9" s="8">
        <v>480</v>
      </c>
      <c r="H9" s="14">
        <v>480</v>
      </c>
      <c r="I9" s="10">
        <v>200</v>
      </c>
      <c r="J9" s="14">
        <v>200</v>
      </c>
      <c r="K9" s="7">
        <f>SUM(E9,G9,I9)</f>
        <v>1535</v>
      </c>
      <c r="L9" s="11">
        <f>D9-K9</f>
        <v>3265</v>
      </c>
      <c r="M9" s="23">
        <f>L9*4</f>
        <v>13060</v>
      </c>
    </row>
    <row r="10" spans="1:13" x14ac:dyDescent="0.25">
      <c r="A10" s="3" t="s">
        <v>9</v>
      </c>
      <c r="B10" s="3" t="s">
        <v>12</v>
      </c>
      <c r="C10" s="4">
        <v>500</v>
      </c>
      <c r="D10" s="5">
        <f>(C10*6)</f>
        <v>3000</v>
      </c>
      <c r="E10" s="8">
        <v>540</v>
      </c>
      <c r="F10" s="14">
        <v>1150</v>
      </c>
      <c r="G10" s="8">
        <v>300</v>
      </c>
      <c r="H10" s="14">
        <v>300</v>
      </c>
      <c r="I10" s="10">
        <v>200</v>
      </c>
      <c r="J10" s="14">
        <v>200</v>
      </c>
      <c r="K10" s="7">
        <f>SUM(E10,G10,I10)</f>
        <v>1040</v>
      </c>
      <c r="L10" s="11">
        <f>D10-K10</f>
        <v>1960</v>
      </c>
      <c r="M10" s="23">
        <f>L10*4</f>
        <v>7840</v>
      </c>
    </row>
    <row r="11" spans="1:13" x14ac:dyDescent="0.25">
      <c r="A11" s="3" t="s">
        <v>13</v>
      </c>
      <c r="B11" s="3" t="s">
        <v>11</v>
      </c>
      <c r="C11" s="4">
        <v>600</v>
      </c>
      <c r="D11" s="5">
        <f>(C11*6)</f>
        <v>3600</v>
      </c>
      <c r="E11" s="8">
        <v>652.5</v>
      </c>
      <c r="F11" s="14">
        <v>1387.5</v>
      </c>
      <c r="G11" s="8">
        <v>360</v>
      </c>
      <c r="H11" s="14">
        <v>360</v>
      </c>
      <c r="I11" s="10">
        <v>200</v>
      </c>
      <c r="J11" s="14">
        <v>200</v>
      </c>
      <c r="K11" s="7">
        <f>SUM(E11,G11,I11)</f>
        <v>1212.5</v>
      </c>
      <c r="L11" s="11">
        <f>D11-K11</f>
        <v>2387.5</v>
      </c>
      <c r="M11" s="23">
        <f>L11*4</f>
        <v>9550</v>
      </c>
    </row>
    <row r="12" spans="1:13" x14ac:dyDescent="0.25">
      <c r="A12" s="3" t="s">
        <v>10</v>
      </c>
      <c r="B12" s="3" t="s">
        <v>11</v>
      </c>
      <c r="C12" s="4">
        <v>800</v>
      </c>
      <c r="D12" s="5">
        <f>(C12*6)</f>
        <v>4800</v>
      </c>
      <c r="E12" s="8">
        <v>855</v>
      </c>
      <c r="F12" s="14">
        <v>1835</v>
      </c>
      <c r="G12" s="8">
        <v>480</v>
      </c>
      <c r="H12" s="14">
        <v>480</v>
      </c>
      <c r="I12" s="10">
        <v>200</v>
      </c>
      <c r="J12" s="14">
        <v>200</v>
      </c>
      <c r="K12" s="7">
        <f>SUM(E12,G12,I12)</f>
        <v>1535</v>
      </c>
      <c r="L12" s="11">
        <f>D12-K12</f>
        <v>3265</v>
      </c>
      <c r="M12" s="23">
        <f>L12*4</f>
        <v>13060</v>
      </c>
    </row>
    <row r="13" spans="1:13" x14ac:dyDescent="0.25">
      <c r="A13" s="3" t="s">
        <v>24</v>
      </c>
      <c r="B13" s="3" t="s">
        <v>11</v>
      </c>
      <c r="C13" s="4">
        <v>500</v>
      </c>
      <c r="D13" s="5">
        <f>(C13*6)</f>
        <v>3000</v>
      </c>
      <c r="E13" s="8">
        <v>540</v>
      </c>
      <c r="F13" s="14">
        <v>1150</v>
      </c>
      <c r="G13" s="8">
        <v>300</v>
      </c>
      <c r="H13" s="14">
        <v>300</v>
      </c>
      <c r="I13" s="10">
        <v>200</v>
      </c>
      <c r="J13" s="14">
        <v>200</v>
      </c>
      <c r="K13" s="7">
        <f>SUM(E13,G13,I13)</f>
        <v>1040</v>
      </c>
      <c r="L13" s="11">
        <f>D13-K13</f>
        <v>1960</v>
      </c>
      <c r="M13" s="23">
        <f>L13*4</f>
        <v>7840</v>
      </c>
    </row>
  </sheetData>
  <sortState xmlns:xlrd2="http://schemas.microsoft.com/office/spreadsheetml/2017/richdata2" ref="A7:M13">
    <sortCondition ref="A6:A13"/>
  </sortState>
  <mergeCells count="10">
    <mergeCell ref="M4:M5"/>
    <mergeCell ref="G4:H4"/>
    <mergeCell ref="I4:J4"/>
    <mergeCell ref="K4:K5"/>
    <mergeCell ref="L4:L5"/>
    <mergeCell ref="E4:F4"/>
    <mergeCell ref="A4:A5"/>
    <mergeCell ref="B4:B5"/>
    <mergeCell ref="C4:C5"/>
    <mergeCell ref="D4:D5"/>
  </mergeCells>
  <pageMargins left="0.25" right="0.25" top="0.75" bottom="0.75" header="0.3" footer="0.3"/>
  <pageSetup scale="8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AF0C-4910-49B5-84DD-F2F334B23F37}">
  <sheetPr>
    <tabColor theme="5"/>
  </sheetPr>
  <dimension ref="A1:I6"/>
  <sheetViews>
    <sheetView workbookViewId="0">
      <selection activeCell="A6" sqref="A6"/>
    </sheetView>
  </sheetViews>
  <sheetFormatPr defaultRowHeight="15" x14ac:dyDescent="0.25"/>
  <cols>
    <col min="1" max="1" width="19.85546875" customWidth="1"/>
    <col min="2" max="2" width="14.5703125" customWidth="1"/>
    <col min="3" max="3" width="17.42578125" customWidth="1"/>
    <col min="4" max="4" width="10.85546875" bestFit="1" customWidth="1"/>
    <col min="5" max="5" width="12.5703125" customWidth="1"/>
    <col min="6" max="6" width="10.42578125" customWidth="1"/>
    <col min="7" max="7" width="19" customWidth="1"/>
    <col min="8" max="8" width="11.7109375" customWidth="1"/>
    <col min="9" max="9" width="16.5703125" customWidth="1"/>
  </cols>
  <sheetData>
    <row r="1" spans="1:9" ht="25.5" x14ac:dyDescent="0.25">
      <c r="A1" s="24" t="s">
        <v>14</v>
      </c>
      <c r="B1" s="24"/>
      <c r="C1" s="24"/>
      <c r="D1" s="24"/>
      <c r="E1" s="24"/>
      <c r="F1" s="24"/>
      <c r="G1" s="24"/>
      <c r="H1" s="24"/>
    </row>
    <row r="2" spans="1:9" x14ac:dyDescent="0.25">
      <c r="A2" s="26" t="s">
        <v>28</v>
      </c>
      <c r="B2" s="26"/>
      <c r="C2" s="26"/>
      <c r="D2" s="26"/>
      <c r="E2" s="26"/>
      <c r="F2" s="26"/>
      <c r="G2" s="26"/>
      <c r="H2" s="26"/>
    </row>
    <row r="3" spans="1:9" x14ac:dyDescent="0.25">
      <c r="A3" s="26"/>
      <c r="B3" s="26"/>
      <c r="C3" s="26"/>
      <c r="D3" s="26"/>
      <c r="E3" s="26"/>
      <c r="F3" s="26"/>
      <c r="G3" s="26"/>
      <c r="H3" s="26"/>
    </row>
    <row r="4" spans="1:9" x14ac:dyDescent="0.25">
      <c r="A4" s="27"/>
      <c r="B4" s="27"/>
      <c r="C4" s="27"/>
      <c r="D4" s="27"/>
      <c r="E4" s="27"/>
      <c r="F4" s="27"/>
      <c r="G4" s="27"/>
      <c r="H4" s="27"/>
    </row>
    <row r="5" spans="1:9" ht="37.5" x14ac:dyDescent="0.25">
      <c r="A5" s="15" t="s">
        <v>0</v>
      </c>
      <c r="B5" s="15" t="s">
        <v>2</v>
      </c>
      <c r="C5" s="15" t="s">
        <v>3</v>
      </c>
      <c r="D5" s="15" t="s">
        <v>4</v>
      </c>
      <c r="E5" s="15" t="s">
        <v>5</v>
      </c>
      <c r="F5" s="15" t="s">
        <v>6</v>
      </c>
      <c r="G5" s="16" t="s">
        <v>23</v>
      </c>
      <c r="H5" s="28" t="s">
        <v>22</v>
      </c>
      <c r="I5" s="2"/>
    </row>
    <row r="6" spans="1:9" ht="15.75" x14ac:dyDescent="0.25">
      <c r="A6" s="17" t="s">
        <v>7</v>
      </c>
      <c r="B6" s="18">
        <f>IFERROR(VLOOKUP(A6, 'Employee Profile'!$A$6:$L$13, 3, FALSE), "")</f>
        <v>750</v>
      </c>
      <c r="C6" s="18">
        <f>IFERROR(VLOOKUP(A6, 'Employee Profile'!$A$6:$L$13, 4, FALSE), "")</f>
        <v>4500</v>
      </c>
      <c r="D6" s="18">
        <f>IFERROR(VLOOKUP(A6, 'Employee Profile'!$A$6:$L$13, 5, FALSE), "")</f>
        <v>765</v>
      </c>
      <c r="E6" s="18">
        <f>IFERROR(VLOOKUP(A6, 'Employee Profile'!$A$6:$L$13, 7, FALSE), "")</f>
        <v>420</v>
      </c>
      <c r="F6" s="18">
        <f>IFERROR(VLOOKUP(A6, 'Employee Profile'!$A$6:$L$13, 9, FALSE), "")</f>
        <v>200</v>
      </c>
      <c r="G6" s="18">
        <f>IFERROR(VLOOKUP(A6, 'Employee Profile'!$A$6:$L$13, 11, FALSE), "")</f>
        <v>1385</v>
      </c>
      <c r="H6" s="29">
        <f>IFERROR(VLOOKUP(A6, 'Employee Profile'!$A$6:$L$13, 12, FALSE), "")</f>
        <v>3115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21C38B-2AB5-4DDC-A87D-0DD1AC4A65EF}">
          <x14:formula1>
            <xm:f>'Employee Profile'!$A$6:$A$13</xm:f>
          </x14:formula1>
          <xm:sqref>A6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D389-CBF6-47A5-9285-150A9BCC4CBB}">
  <sheetPr>
    <tabColor rgb="FFFFFF00"/>
  </sheetPr>
  <dimension ref="A1:C23"/>
  <sheetViews>
    <sheetView zoomScaleNormal="100" workbookViewId="0">
      <selection activeCell="C19" sqref="C19"/>
    </sheetView>
  </sheetViews>
  <sheetFormatPr defaultRowHeight="15" x14ac:dyDescent="0.25"/>
  <cols>
    <col min="1" max="1" width="17.5703125" customWidth="1"/>
    <col min="2" max="2" width="15.42578125" customWidth="1"/>
    <col min="4" max="4" width="20.5703125" customWidth="1"/>
    <col min="5" max="5" width="18.42578125" customWidth="1"/>
    <col min="6" max="6" width="17" customWidth="1"/>
  </cols>
  <sheetData>
    <row r="1" spans="1:3" x14ac:dyDescent="0.25">
      <c r="A1" s="1" t="s">
        <v>41</v>
      </c>
      <c r="B1" s="1" t="s">
        <v>42</v>
      </c>
      <c r="C1" s="30"/>
    </row>
    <row r="2" spans="1:3" x14ac:dyDescent="0.25">
      <c r="A2" t="s">
        <v>29</v>
      </c>
      <c r="B2">
        <v>21</v>
      </c>
    </row>
    <row r="3" spans="1:3" x14ac:dyDescent="0.25">
      <c r="A3" t="s">
        <v>30</v>
      </c>
      <c r="B3">
        <v>21</v>
      </c>
    </row>
    <row r="4" spans="1:3" x14ac:dyDescent="0.25">
      <c r="A4" t="s">
        <v>31</v>
      </c>
      <c r="B4">
        <v>21</v>
      </c>
    </row>
    <row r="5" spans="1:3" x14ac:dyDescent="0.25">
      <c r="A5" t="s">
        <v>32</v>
      </c>
      <c r="B5">
        <v>22</v>
      </c>
    </row>
    <row r="6" spans="1:3" x14ac:dyDescent="0.25">
      <c r="A6" t="s">
        <v>33</v>
      </c>
      <c r="B6">
        <v>23</v>
      </c>
    </row>
    <row r="7" spans="1:3" x14ac:dyDescent="0.25">
      <c r="A7" t="s">
        <v>34</v>
      </c>
      <c r="B7">
        <v>20</v>
      </c>
    </row>
    <row r="8" spans="1:3" x14ac:dyDescent="0.25">
      <c r="A8" t="s">
        <v>35</v>
      </c>
      <c r="B8">
        <v>23</v>
      </c>
    </row>
    <row r="9" spans="1:3" x14ac:dyDescent="0.25">
      <c r="A9" t="s">
        <v>36</v>
      </c>
      <c r="B9">
        <v>22</v>
      </c>
    </row>
    <row r="10" spans="1:3" x14ac:dyDescent="0.25">
      <c r="A10" t="s">
        <v>37</v>
      </c>
      <c r="B10">
        <v>21</v>
      </c>
    </row>
    <row r="11" spans="1:3" x14ac:dyDescent="0.25">
      <c r="A11" t="s">
        <v>38</v>
      </c>
      <c r="B11">
        <v>23</v>
      </c>
    </row>
    <row r="12" spans="1:3" x14ac:dyDescent="0.25">
      <c r="A12" t="s">
        <v>39</v>
      </c>
      <c r="B12">
        <v>21</v>
      </c>
    </row>
    <row r="13" spans="1:3" x14ac:dyDescent="0.25">
      <c r="A13" t="s">
        <v>40</v>
      </c>
      <c r="B13">
        <v>22</v>
      </c>
    </row>
    <row r="15" spans="1:3" x14ac:dyDescent="0.25">
      <c r="A15" s="1" t="s">
        <v>0</v>
      </c>
      <c r="B15" s="1" t="s">
        <v>45</v>
      </c>
    </row>
    <row r="16" spans="1:3" x14ac:dyDescent="0.25">
      <c r="A16" s="3" t="s">
        <v>7</v>
      </c>
      <c r="B16" s="7">
        <v>3115</v>
      </c>
    </row>
    <row r="17" spans="1:2" x14ac:dyDescent="0.25">
      <c r="A17" s="3" t="s">
        <v>8</v>
      </c>
      <c r="B17" s="7">
        <v>2387.5</v>
      </c>
    </row>
    <row r="18" spans="1:2" x14ac:dyDescent="0.25">
      <c r="A18" s="3" t="s">
        <v>9</v>
      </c>
      <c r="B18" s="7">
        <v>1960</v>
      </c>
    </row>
    <row r="19" spans="1:2" x14ac:dyDescent="0.25">
      <c r="A19" s="3" t="s">
        <v>13</v>
      </c>
      <c r="B19" s="7">
        <v>2387.5</v>
      </c>
    </row>
    <row r="20" spans="1:2" x14ac:dyDescent="0.25">
      <c r="A20" s="3" t="s">
        <v>10</v>
      </c>
      <c r="B20" s="7">
        <v>3265</v>
      </c>
    </row>
    <row r="21" spans="1:2" x14ac:dyDescent="0.25">
      <c r="A21" s="3" t="s">
        <v>24</v>
      </c>
      <c r="B21" s="7">
        <v>1960</v>
      </c>
    </row>
    <row r="22" spans="1:2" x14ac:dyDescent="0.25">
      <c r="A22" s="3" t="s">
        <v>25</v>
      </c>
      <c r="B22" s="7">
        <v>2387.5</v>
      </c>
    </row>
    <row r="23" spans="1:2" x14ac:dyDescent="0.25">
      <c r="A23" s="3" t="s">
        <v>26</v>
      </c>
      <c r="B23" s="7">
        <v>3265</v>
      </c>
    </row>
  </sheetData>
  <phoneticPr fontId="7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29D3-01EA-4B59-BB24-E7476ADE15AF}">
  <sheetPr>
    <tabColor theme="9"/>
  </sheetPr>
  <dimension ref="A1:H14"/>
  <sheetViews>
    <sheetView workbookViewId="0">
      <selection activeCell="D14" sqref="D14"/>
    </sheetView>
  </sheetViews>
  <sheetFormatPr defaultRowHeight="15" x14ac:dyDescent="0.25"/>
  <cols>
    <col min="1" max="1" width="17.5703125" customWidth="1"/>
    <col min="2" max="2" width="22.85546875" customWidth="1"/>
  </cols>
  <sheetData>
    <row r="1" spans="1:8" ht="25.5" x14ac:dyDescent="0.25">
      <c r="A1" s="19" t="s">
        <v>14</v>
      </c>
      <c r="B1" s="19"/>
      <c r="C1" s="19"/>
      <c r="D1" s="19"/>
      <c r="E1" s="19"/>
      <c r="F1" s="19"/>
      <c r="G1" s="19"/>
      <c r="H1" s="19"/>
    </row>
    <row r="2" spans="1:8" x14ac:dyDescent="0.25">
      <c r="A2" s="20" t="s">
        <v>27</v>
      </c>
      <c r="B2" s="20"/>
      <c r="C2" s="20"/>
      <c r="D2" s="20"/>
      <c r="E2" s="20"/>
      <c r="F2" s="20"/>
      <c r="G2" s="20"/>
      <c r="H2" s="20"/>
    </row>
    <row r="3" spans="1:8" x14ac:dyDescent="0.25">
      <c r="A3" s="20"/>
      <c r="B3" s="20"/>
      <c r="C3" s="20"/>
      <c r="D3" s="20"/>
      <c r="E3" s="20"/>
      <c r="F3" s="20"/>
      <c r="G3" s="20"/>
      <c r="H3" s="12"/>
    </row>
    <row r="4" spans="1:8" x14ac:dyDescent="0.25">
      <c r="A4" s="39" t="s">
        <v>43</v>
      </c>
      <c r="B4" s="38" t="s">
        <v>36</v>
      </c>
      <c r="C4" s="20"/>
      <c r="D4" s="20"/>
      <c r="E4" s="20"/>
      <c r="F4" s="20"/>
      <c r="G4" s="20"/>
      <c r="H4" s="12"/>
    </row>
    <row r="5" spans="1:8" x14ac:dyDescent="0.25">
      <c r="A5" s="39"/>
      <c r="B5" s="38"/>
    </row>
    <row r="6" spans="1:8" x14ac:dyDescent="0.25">
      <c r="A6" s="21" t="s">
        <v>0</v>
      </c>
      <c r="B6" s="22" t="s">
        <v>44</v>
      </c>
    </row>
    <row r="7" spans="1:8" x14ac:dyDescent="0.25">
      <c r="A7" s="3" t="s">
        <v>7</v>
      </c>
      <c r="B7" s="7">
        <f>VLOOKUP(A7, 'WORKING DAYS'!A:B, 2, FALSE) * 4</f>
        <v>12460</v>
      </c>
    </row>
    <row r="8" spans="1:8" x14ac:dyDescent="0.25">
      <c r="A8" s="3" t="s">
        <v>8</v>
      </c>
      <c r="B8" s="7">
        <f>VLOOKUP(A8, 'WORKING DAYS'!A:B, 2, FALSE) * 4</f>
        <v>9550</v>
      </c>
    </row>
    <row r="9" spans="1:8" x14ac:dyDescent="0.25">
      <c r="A9" s="3" t="s">
        <v>25</v>
      </c>
      <c r="B9" s="7">
        <f>VLOOKUP(A9, 'WORKING DAYS'!A:B, 2, FALSE) * 4</f>
        <v>9550</v>
      </c>
    </row>
    <row r="10" spans="1:8" x14ac:dyDescent="0.25">
      <c r="A10" s="3" t="s">
        <v>26</v>
      </c>
      <c r="B10" s="7">
        <f>VLOOKUP(A10, 'WORKING DAYS'!A:B, 2, FALSE) * 4</f>
        <v>13060</v>
      </c>
    </row>
    <row r="11" spans="1:8" x14ac:dyDescent="0.25">
      <c r="A11" s="3" t="s">
        <v>9</v>
      </c>
      <c r="B11" s="7">
        <f>VLOOKUP(A11, 'WORKING DAYS'!A:B, 2, FALSE) * 4</f>
        <v>7840</v>
      </c>
    </row>
    <row r="12" spans="1:8" x14ac:dyDescent="0.25">
      <c r="A12" s="3" t="s">
        <v>13</v>
      </c>
      <c r="B12" s="7">
        <f>VLOOKUP(A12, 'WORKING DAYS'!A:B, 2, FALSE) * 4</f>
        <v>9550</v>
      </c>
    </row>
    <row r="13" spans="1:8" x14ac:dyDescent="0.25">
      <c r="A13" s="3" t="s">
        <v>10</v>
      </c>
      <c r="B13" s="7">
        <f>VLOOKUP(A13, 'WORKING DAYS'!A:B, 2, FALSE) * 4</f>
        <v>13060</v>
      </c>
    </row>
    <row r="14" spans="1:8" x14ac:dyDescent="0.25">
      <c r="A14" s="3" t="s">
        <v>24</v>
      </c>
      <c r="B14" s="7">
        <f>VLOOKUP(A14, 'WORKING DAYS'!A:B, 2, FALSE) * 4</f>
        <v>7840</v>
      </c>
    </row>
  </sheetData>
  <mergeCells count="2">
    <mergeCell ref="B4:B5"/>
    <mergeCell ref="A4:A5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5D76F-093D-4BF7-8FF7-1498AB774DF3}">
          <x14:formula1>
            <xm:f>'WORKING DAYS'!$A$2:$A$13</xm:f>
          </x14:formula1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Home</vt:lpstr>
      <vt:lpstr>Employee Profile</vt:lpstr>
      <vt:lpstr>SALARY PER WEEK</vt:lpstr>
      <vt:lpstr>WORKING DAYS</vt:lpstr>
      <vt:lpstr>SALARY PER MONTH</vt:lpstr>
      <vt:lpstr>'WORKING DAYS'!Print_Area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</dc:creator>
  <cp:lastModifiedBy>CARLA MESINA</cp:lastModifiedBy>
  <cp:lastPrinted>2024-12-11T05:30:01Z</cp:lastPrinted>
  <dcterms:created xsi:type="dcterms:W3CDTF">2024-12-04T03:13:56Z</dcterms:created>
  <dcterms:modified xsi:type="dcterms:W3CDTF">2024-12-11T11:23:31Z</dcterms:modified>
</cp:coreProperties>
</file>